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SA292685\Downloads\"/>
    </mc:Choice>
  </mc:AlternateContent>
  <xr:revisionPtr revIDLastSave="0" documentId="8_{62105D9A-30A1-46A9-A24B-B85DF4DD8AD4}" xr6:coauthVersionLast="47" xr6:coauthVersionMax="47" xr10:uidLastSave="{00000000-0000-0000-0000-000000000000}"/>
  <bookViews>
    <workbookView xWindow="-110" yWindow="-110" windowWidth="19420" windowHeight="10300" xr2:uid="{02E5A242-B525-4451-A2BF-081918D6BAE8}"/>
  </bookViews>
  <sheets>
    <sheet name="2026-1711458_P;_5_Lauderdale_Av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2" l="1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</calcChain>
</file>

<file path=xl/sharedStrings.xml><?xml version="1.0" encoding="utf-8"?>
<sst xmlns="http://schemas.openxmlformats.org/spreadsheetml/2006/main" count="219" uniqueCount="84">
  <si>
    <t>Quote Number:</t>
  </si>
  <si>
    <t>2026-1711458</t>
  </si>
  <si>
    <t>Quote Currency</t>
  </si>
  <si>
    <t>Account Number:</t>
  </si>
  <si>
    <t>Account Name:</t>
  </si>
  <si>
    <t>TLE Electrical Lakemba 710</t>
  </si>
  <si>
    <t>Quote status:</t>
  </si>
  <si>
    <t>Standard Products</t>
  </si>
  <si>
    <t>#</t>
  </si>
  <si>
    <t>Qty</t>
  </si>
  <si>
    <t>Unit Measure</t>
  </si>
  <si>
    <t>Product</t>
  </si>
  <si>
    <t>Product Number</t>
  </si>
  <si>
    <t>Description</t>
  </si>
  <si>
    <t>Price Source</t>
  </si>
  <si>
    <t>Price List</t>
  </si>
  <si>
    <t>Unit List Price</t>
  </si>
  <si>
    <t>Ext List Price</t>
  </si>
  <si>
    <t>Standard Discount</t>
  </si>
  <si>
    <t>Unit Price</t>
  </si>
  <si>
    <t>Ext. Price</t>
  </si>
  <si>
    <t>Discount Type</t>
  </si>
  <si>
    <t>Value</t>
  </si>
  <si>
    <t>Total Discount %</t>
  </si>
  <si>
    <t>Unit Net Price</t>
  </si>
  <si>
    <t>Ext. Net Price</t>
  </si>
  <si>
    <t>Total Tax %</t>
  </si>
  <si>
    <t>Unit Net Price incl Tax</t>
  </si>
  <si>
    <t>Ext Net Price incl Tax</t>
  </si>
  <si>
    <t>Rebate %</t>
  </si>
  <si>
    <t>Net Net Price</t>
  </si>
  <si>
    <t>Ext Net Net Price</t>
  </si>
  <si>
    <t>PCE</t>
  </si>
  <si>
    <t>PRHAU01Z4025-ZW</t>
  </si>
  <si>
    <t>SOCKET SWT TWIN 10A 250V SATURN ZEN ZW</t>
  </si>
  <si>
    <t>SAP</t>
  </si>
  <si>
    <t>Standard</t>
  </si>
  <si>
    <t>27.26</t>
  </si>
  <si>
    <t>%</t>
  </si>
  <si>
    <t>0.0</t>
  </si>
  <si>
    <t>PRHAU01Z4015-ZW</t>
  </si>
  <si>
    <t>SOCKET SWT SINGLE 10A 230/240V SATURN</t>
  </si>
  <si>
    <t>25.0</t>
  </si>
  <si>
    <t>PRHAU01Z4025USBC-ZW</t>
  </si>
  <si>
    <t>Socket SWT TWIN SatZen c_w USB Chgr ZW</t>
  </si>
  <si>
    <t>PRHAU01O3025-XW</t>
  </si>
  <si>
    <t>Socket Sw Horiz Twin 10A 230/240V XW</t>
  </si>
  <si>
    <t>42.994</t>
  </si>
  <si>
    <t>PRHAU01P2025/2-WE</t>
  </si>
  <si>
    <t>SOCKET SWT TWIN 10A 230/240V</t>
  </si>
  <si>
    <t>42.995</t>
  </si>
  <si>
    <t>PRHAU012025USBC-WE</t>
  </si>
  <si>
    <t>Socket,Twin, 2000 Series with Single USB</t>
  </si>
  <si>
    <t>43.0</t>
  </si>
  <si>
    <t>PRHAU01P2015-WE</t>
  </si>
  <si>
    <t>SOCKET SWT SINGLE 10A 250V</t>
  </si>
  <si>
    <t>43.007</t>
  </si>
  <si>
    <t>PRHAU01Z4061PBL-ZW</t>
  </si>
  <si>
    <t>SW 1G PB 230/240V 16AX_20A LED SATZEN ZW</t>
  </si>
  <si>
    <t>PRHAU01Z4062PBL-ZW</t>
  </si>
  <si>
    <t>SW 2G PB 230/240V 16AX_20A LED SATZEN ZW</t>
  </si>
  <si>
    <t>24.994</t>
  </si>
  <si>
    <t>PRHAU01Z4063PBL-ZW</t>
  </si>
  <si>
    <t>SW 3G PB 230/240V 16AX_20A LED SATZEN ZW</t>
  </si>
  <si>
    <t>24.989</t>
  </si>
  <si>
    <t>PRHAU01Z4064PBL-ZW</t>
  </si>
  <si>
    <t>SW 4G PB 230/240V 16AX_20A LED SATRN ZEN</t>
  </si>
  <si>
    <t>24.995</t>
  </si>
  <si>
    <t>PRHAU01Z4065PBL-ZW</t>
  </si>
  <si>
    <t>SW 5G PB 230/240V 16AX_20A LED SATRN ZEN</t>
  </si>
  <si>
    <t>24.992</t>
  </si>
  <si>
    <t>PRHAU01Z4066PBL-ZW</t>
  </si>
  <si>
    <t>SW 6G PB 230/240V 16AX_20A LED SATRN ZEN</t>
  </si>
  <si>
    <t>24.993</t>
  </si>
  <si>
    <t>PRHAU01P2031VA-WE</t>
  </si>
  <si>
    <t>SWITCH 1GANG 10AMP</t>
  </si>
  <si>
    <t>PRHAU01P2032VA-WE</t>
  </si>
  <si>
    <t>SWITCH 2GANG 10AMP</t>
  </si>
  <si>
    <t>PRHAU01P2033/2VA-WE</t>
  </si>
  <si>
    <t>SWITCH 3GANG 10AMP 250V</t>
  </si>
  <si>
    <t>42.997</t>
  </si>
  <si>
    <t>PRHAU01P2034/2VA-WE</t>
  </si>
  <si>
    <t>SWITCH 4GANG 10AMP</t>
  </si>
  <si>
    <t>43.002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</si>
</sst>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964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0" borderId="0" xfId="0" applyFont="1" applyAlignment="1">
      <alignment wrapText="1"/>
    </xf>
    <xf numFmtId="0" fontId="0" fillId="0" borderId="0" xfId="0" applyAlignment="1">
      <alignment wrapText="1"/>
    </xf>
    <xf numFmtId="0" fontId="20" fillId="0" borderId="0" xfId="0" applyFont="1" applyAlignment="1">
      <alignment wrapText="1"/>
    </xf>
    <xf numFmtId="0" fontId="19" fillId="0" borderId="0" xfId="0" applyFont="1" applyAlignment="1">
      <alignment horizontal="left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center" wrapText="1"/>
    </xf>
    <xf numFmtId="4" fontId="18" fillId="0" borderId="10" xfId="0" applyNumberFormat="1" applyFont="1" applyBorder="1" applyAlignment="1">
      <alignment wrapText="1"/>
    </xf>
    <xf numFmtId="49" fontId="18" fillId="0" borderId="10" xfId="0" applyNumberFormat="1" applyFont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4" fontId="20" fillId="0" borderId="11" xfId="0" applyNumberFormat="1" applyFont="1" applyBorder="1" applyAlignment="1">
      <alignment wrapText="1"/>
    </xf>
    <xf numFmtId="4" fontId="20" fillId="0" borderId="12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F861-5863-4ECA-9827-6B00399E8D27}">
  <dimension ref="A1:X28"/>
  <sheetViews>
    <sheetView showGridLines="0" tabSelected="1" workbookViewId="0">
      <selection activeCell="E5" sqref="E5:F6"/>
    </sheetView>
  </sheetViews>
  <sheetFormatPr defaultRowHeight="14.5" x14ac:dyDescent="0.35"/>
  <cols>
    <col min="1" max="1" width="10.7265625" customWidth="1"/>
    <col min="2" max="2" width="14.36328125" customWidth="1"/>
    <col min="3" max="3" width="23.6328125" customWidth="1"/>
    <col min="4" max="4" width="15" customWidth="1"/>
    <col min="5" max="5" width="19.54296875" bestFit="1" customWidth="1"/>
    <col min="6" max="6" width="34.90625" bestFit="1" customWidth="1"/>
    <col min="7" max="7" width="10.453125" bestFit="1" customWidth="1"/>
    <col min="8" max="8" width="7.7265625" bestFit="1" customWidth="1"/>
    <col min="9" max="9" width="11.1796875" bestFit="1" customWidth="1"/>
    <col min="10" max="10" width="10.36328125" bestFit="1" customWidth="1"/>
    <col min="11" max="11" width="15.08984375" bestFit="1" customWidth="1"/>
    <col min="12" max="12" width="8.1796875" bestFit="1" customWidth="1"/>
    <col min="13" max="13" width="7.81640625" bestFit="1" customWidth="1"/>
    <col min="14" max="14" width="11.54296875" bestFit="1" customWidth="1"/>
    <col min="15" max="15" width="5.08984375" bestFit="1" customWidth="1"/>
    <col min="16" max="16" width="13.453125" bestFit="1" customWidth="1"/>
    <col min="17" max="18" width="11.1796875" bestFit="1" customWidth="1"/>
    <col min="19" max="19" width="9.08984375" bestFit="1" customWidth="1"/>
    <col min="20" max="20" width="17.453125" bestFit="1" customWidth="1"/>
    <col min="21" max="21" width="16.54296875" bestFit="1" customWidth="1"/>
    <col min="22" max="22" width="7.81640625" bestFit="1" customWidth="1"/>
    <col min="23" max="23" width="10.7265625" bestFit="1" customWidth="1"/>
    <col min="24" max="24" width="13.453125" bestFit="1" customWidth="1"/>
  </cols>
  <sheetData>
    <row r="1" spans="1:24" x14ac:dyDescent="0.35">
      <c r="A1" s="1" t="s">
        <v>0</v>
      </c>
      <c r="B1" s="1"/>
      <c r="C1" s="1" t="s">
        <v>1</v>
      </c>
      <c r="D1" s="1"/>
      <c r="E1" s="2"/>
      <c r="F1" s="3" t="s">
        <v>2</v>
      </c>
    </row>
    <row r="2" spans="1:24" x14ac:dyDescent="0.35">
      <c r="A2" s="1"/>
      <c r="B2" s="1"/>
      <c r="C2" s="1"/>
      <c r="D2" s="1"/>
      <c r="E2" s="2"/>
      <c r="F2" s="3"/>
    </row>
    <row r="3" spans="1:24" x14ac:dyDescent="0.35">
      <c r="A3" s="1" t="s">
        <v>3</v>
      </c>
      <c r="B3" s="1"/>
      <c r="C3" s="4">
        <v>44731</v>
      </c>
      <c r="D3" s="2"/>
    </row>
    <row r="4" spans="1:24" x14ac:dyDescent="0.35">
      <c r="A4" s="1"/>
      <c r="B4" s="1"/>
      <c r="C4" s="4"/>
      <c r="D4" s="2"/>
    </row>
    <row r="5" spans="1:24" x14ac:dyDescent="0.35">
      <c r="A5" s="1" t="s">
        <v>4</v>
      </c>
      <c r="B5" s="1"/>
      <c r="C5" s="1" t="s">
        <v>5</v>
      </c>
      <c r="D5" s="1"/>
      <c r="E5" s="1" t="s">
        <v>6</v>
      </c>
      <c r="F5" s="1"/>
    </row>
    <row r="6" spans="1:24" x14ac:dyDescent="0.35">
      <c r="A6" s="1"/>
      <c r="B6" s="1"/>
      <c r="C6" s="1"/>
      <c r="D6" s="1"/>
      <c r="E6" s="1"/>
      <c r="F6" s="1"/>
    </row>
    <row r="7" spans="1:24" x14ac:dyDescent="0.35">
      <c r="A7" s="3" t="s">
        <v>7</v>
      </c>
      <c r="B7" s="3"/>
      <c r="C7" s="3"/>
      <c r="D7" s="3"/>
      <c r="E7" s="3"/>
      <c r="F7" s="3"/>
    </row>
    <row r="8" spans="1:24" x14ac:dyDescent="0.35">
      <c r="A8" s="3"/>
      <c r="B8" s="3"/>
      <c r="C8" s="3"/>
      <c r="D8" s="3"/>
      <c r="E8" s="3"/>
      <c r="F8" s="3"/>
    </row>
    <row r="9" spans="1:24" x14ac:dyDescent="0.35">
      <c r="A9" s="5" t="s">
        <v>8</v>
      </c>
      <c r="B9" s="5" t="s">
        <v>9</v>
      </c>
      <c r="C9" s="5" t="s">
        <v>10</v>
      </c>
      <c r="D9" s="5" t="s">
        <v>11</v>
      </c>
      <c r="E9" s="5" t="s">
        <v>12</v>
      </c>
      <c r="F9" s="5" t="s">
        <v>13</v>
      </c>
      <c r="G9" s="5" t="s">
        <v>14</v>
      </c>
      <c r="H9" s="5" t="s">
        <v>15</v>
      </c>
      <c r="I9" s="5" t="s">
        <v>16</v>
      </c>
      <c r="J9" s="5" t="s">
        <v>17</v>
      </c>
      <c r="K9" s="5" t="s">
        <v>18</v>
      </c>
      <c r="L9" s="5" t="s">
        <v>19</v>
      </c>
      <c r="M9" s="5" t="s">
        <v>20</v>
      </c>
      <c r="N9" s="5" t="s">
        <v>21</v>
      </c>
      <c r="O9" s="5" t="s">
        <v>22</v>
      </c>
      <c r="P9" s="5" t="s">
        <v>23</v>
      </c>
      <c r="Q9" s="5" t="s">
        <v>24</v>
      </c>
      <c r="R9" s="5" t="s">
        <v>25</v>
      </c>
      <c r="S9" s="5" t="s">
        <v>26</v>
      </c>
      <c r="T9" s="5" t="s">
        <v>27</v>
      </c>
      <c r="U9" s="5" t="s">
        <v>28</v>
      </c>
      <c r="V9" s="5" t="s">
        <v>29</v>
      </c>
      <c r="W9" s="5" t="s">
        <v>30</v>
      </c>
      <c r="X9" s="5" t="s">
        <v>31</v>
      </c>
    </row>
    <row r="10" spans="1:24" x14ac:dyDescent="0.35">
      <c r="A10" s="6">
        <v>1</v>
      </c>
      <c r="B10" s="7">
        <v>167</v>
      </c>
      <c r="C10" s="7" t="s">
        <v>32</v>
      </c>
      <c r="D10" s="6" t="str">
        <f>"Z4025-ZW"</f>
        <v>Z4025-ZW</v>
      </c>
      <c r="E10" s="6" t="s">
        <v>33</v>
      </c>
      <c r="F10" s="6" t="s">
        <v>34</v>
      </c>
      <c r="G10" s="6" t="s">
        <v>35</v>
      </c>
      <c r="H10" s="6" t="s">
        <v>36</v>
      </c>
      <c r="I10" s="6">
        <v>74.099999999999994</v>
      </c>
      <c r="J10" s="8">
        <v>12374.7</v>
      </c>
      <c r="K10" s="9" t="s">
        <v>37</v>
      </c>
      <c r="L10" s="6">
        <v>53.9</v>
      </c>
      <c r="M10" s="8">
        <v>9001.36</v>
      </c>
      <c r="N10" s="6" t="s">
        <v>38</v>
      </c>
      <c r="O10" s="9" t="s">
        <v>39</v>
      </c>
      <c r="P10" s="9" t="s">
        <v>37</v>
      </c>
      <c r="Q10" s="6">
        <v>53.9</v>
      </c>
      <c r="R10" s="8">
        <v>9001.36</v>
      </c>
      <c r="S10" s="9" t="s">
        <v>39</v>
      </c>
      <c r="T10" s="6">
        <v>53.9</v>
      </c>
      <c r="U10" s="8">
        <v>9001.36</v>
      </c>
      <c r="V10" s="9" t="s">
        <v>39</v>
      </c>
      <c r="W10" s="6">
        <v>53.9</v>
      </c>
      <c r="X10" s="8">
        <v>9001.36</v>
      </c>
    </row>
    <row r="11" spans="1:24" x14ac:dyDescent="0.35">
      <c r="A11" s="6">
        <v>2</v>
      </c>
      <c r="B11" s="7">
        <v>91</v>
      </c>
      <c r="C11" s="7" t="s">
        <v>32</v>
      </c>
      <c r="D11" s="6" t="str">
        <f>"Z4015-ZW"</f>
        <v>Z4015-ZW</v>
      </c>
      <c r="E11" s="6" t="s">
        <v>40</v>
      </c>
      <c r="F11" s="6" t="s">
        <v>41</v>
      </c>
      <c r="G11" s="6" t="s">
        <v>35</v>
      </c>
      <c r="H11" s="6" t="s">
        <v>36</v>
      </c>
      <c r="I11" s="6">
        <v>67.400000000000006</v>
      </c>
      <c r="J11" s="8">
        <v>6133.4</v>
      </c>
      <c r="K11" s="9" t="s">
        <v>42</v>
      </c>
      <c r="L11" s="6">
        <v>50.55</v>
      </c>
      <c r="M11" s="8">
        <v>4600.05</v>
      </c>
      <c r="N11" s="6" t="s">
        <v>38</v>
      </c>
      <c r="O11" s="9" t="s">
        <v>39</v>
      </c>
      <c r="P11" s="9" t="s">
        <v>42</v>
      </c>
      <c r="Q11" s="6">
        <v>50.55</v>
      </c>
      <c r="R11" s="8">
        <v>4600.05</v>
      </c>
      <c r="S11" s="9" t="s">
        <v>39</v>
      </c>
      <c r="T11" s="6">
        <v>50.55</v>
      </c>
      <c r="U11" s="8">
        <v>4600.05</v>
      </c>
      <c r="V11" s="9" t="s">
        <v>39</v>
      </c>
      <c r="W11" s="6">
        <v>50.55</v>
      </c>
      <c r="X11" s="8">
        <v>4600.05</v>
      </c>
    </row>
    <row r="12" spans="1:24" x14ac:dyDescent="0.35">
      <c r="A12" s="6">
        <v>3</v>
      </c>
      <c r="B12" s="7">
        <v>24</v>
      </c>
      <c r="C12" s="7" t="s">
        <v>32</v>
      </c>
      <c r="D12" s="6" t="str">
        <f>"Z4025USBC-ZW"</f>
        <v>Z4025USBC-ZW</v>
      </c>
      <c r="E12" s="6" t="s">
        <v>43</v>
      </c>
      <c r="F12" s="6" t="s">
        <v>44</v>
      </c>
      <c r="G12" s="6" t="s">
        <v>35</v>
      </c>
      <c r="H12" s="6" t="s">
        <v>36</v>
      </c>
      <c r="I12" s="6">
        <v>155.80000000000001</v>
      </c>
      <c r="J12" s="8">
        <v>3739.2</v>
      </c>
      <c r="K12" s="9" t="s">
        <v>42</v>
      </c>
      <c r="L12" s="6">
        <v>116.85</v>
      </c>
      <c r="M12" s="8">
        <v>2804.4</v>
      </c>
      <c r="N12" s="6" t="s">
        <v>38</v>
      </c>
      <c r="O12" s="9" t="s">
        <v>39</v>
      </c>
      <c r="P12" s="9" t="s">
        <v>42</v>
      </c>
      <c r="Q12" s="6">
        <v>116.85</v>
      </c>
      <c r="R12" s="8">
        <v>2804.4</v>
      </c>
      <c r="S12" s="9" t="s">
        <v>39</v>
      </c>
      <c r="T12" s="6">
        <v>116.85</v>
      </c>
      <c r="U12" s="8">
        <v>2804.4</v>
      </c>
      <c r="V12" s="9" t="s">
        <v>39</v>
      </c>
      <c r="W12" s="6">
        <v>116.85</v>
      </c>
      <c r="X12" s="8">
        <v>2804.4</v>
      </c>
    </row>
    <row r="13" spans="1:24" x14ac:dyDescent="0.35">
      <c r="A13" s="6">
        <v>4</v>
      </c>
      <c r="B13" s="7">
        <v>14</v>
      </c>
      <c r="C13" s="7" t="s">
        <v>32</v>
      </c>
      <c r="D13" s="6" t="str">
        <f>"O3025-XW"</f>
        <v>O3025-XW</v>
      </c>
      <c r="E13" s="6" t="s">
        <v>45</v>
      </c>
      <c r="F13" s="6" t="s">
        <v>46</v>
      </c>
      <c r="G13" s="6" t="s">
        <v>35</v>
      </c>
      <c r="H13" s="6" t="s">
        <v>36</v>
      </c>
      <c r="I13" s="6">
        <v>51.1</v>
      </c>
      <c r="J13" s="6">
        <v>715.4</v>
      </c>
      <c r="K13" s="9" t="s">
        <v>47</v>
      </c>
      <c r="L13" s="6">
        <v>29.13</v>
      </c>
      <c r="M13" s="6">
        <v>407.82</v>
      </c>
      <c r="N13" s="6" t="s">
        <v>38</v>
      </c>
      <c r="O13" s="9" t="s">
        <v>39</v>
      </c>
      <c r="P13" s="9" t="s">
        <v>47</v>
      </c>
      <c r="Q13" s="6">
        <v>29.13</v>
      </c>
      <c r="R13" s="6">
        <v>407.82</v>
      </c>
      <c r="S13" s="9" t="s">
        <v>39</v>
      </c>
      <c r="T13" s="6">
        <v>29.13</v>
      </c>
      <c r="U13" s="6">
        <v>407.82</v>
      </c>
      <c r="V13" s="9" t="s">
        <v>39</v>
      </c>
      <c r="W13" s="6">
        <v>29.13</v>
      </c>
      <c r="X13" s="6">
        <v>407.82</v>
      </c>
    </row>
    <row r="14" spans="1:24" x14ac:dyDescent="0.35">
      <c r="A14" s="6">
        <v>5</v>
      </c>
      <c r="B14" s="7">
        <v>50</v>
      </c>
      <c r="C14" s="7" t="s">
        <v>32</v>
      </c>
      <c r="D14" s="6" t="str">
        <f>"P2025/2-WE"</f>
        <v>P2025/2-WE</v>
      </c>
      <c r="E14" s="6" t="s">
        <v>48</v>
      </c>
      <c r="F14" s="6" t="s">
        <v>49</v>
      </c>
      <c r="G14" s="6" t="s">
        <v>35</v>
      </c>
      <c r="H14" s="6" t="s">
        <v>36</v>
      </c>
      <c r="I14" s="6">
        <v>65.099999999999994</v>
      </c>
      <c r="J14" s="8">
        <v>3255</v>
      </c>
      <c r="K14" s="9" t="s">
        <v>50</v>
      </c>
      <c r="L14" s="6">
        <v>37.11</v>
      </c>
      <c r="M14" s="8">
        <v>1855.51</v>
      </c>
      <c r="N14" s="6" t="s">
        <v>38</v>
      </c>
      <c r="O14" s="9" t="s">
        <v>39</v>
      </c>
      <c r="P14" s="9" t="s">
        <v>50</v>
      </c>
      <c r="Q14" s="6">
        <v>37.11</v>
      </c>
      <c r="R14" s="8">
        <v>1855.51</v>
      </c>
      <c r="S14" s="9" t="s">
        <v>39</v>
      </c>
      <c r="T14" s="6">
        <v>37.11</v>
      </c>
      <c r="U14" s="8">
        <v>1855.51</v>
      </c>
      <c r="V14" s="9" t="s">
        <v>39</v>
      </c>
      <c r="W14" s="6">
        <v>37.11</v>
      </c>
      <c r="X14" s="8">
        <v>1855.51</v>
      </c>
    </row>
    <row r="15" spans="1:24" x14ac:dyDescent="0.35">
      <c r="A15" s="6">
        <v>6</v>
      </c>
      <c r="B15" s="7">
        <v>7</v>
      </c>
      <c r="C15" s="7" t="s">
        <v>32</v>
      </c>
      <c r="D15" s="6" t="str">
        <f>"2025USBC-WE"</f>
        <v>2025USBC-WE</v>
      </c>
      <c r="E15" s="6" t="s">
        <v>51</v>
      </c>
      <c r="F15" s="6" t="s">
        <v>52</v>
      </c>
      <c r="G15" s="6" t="s">
        <v>35</v>
      </c>
      <c r="H15" s="6" t="s">
        <v>36</v>
      </c>
      <c r="I15" s="6">
        <v>107</v>
      </c>
      <c r="J15" s="6">
        <v>749</v>
      </c>
      <c r="K15" s="9" t="s">
        <v>53</v>
      </c>
      <c r="L15" s="6">
        <v>60.99</v>
      </c>
      <c r="M15" s="6">
        <v>426.93</v>
      </c>
      <c r="N15" s="6" t="s">
        <v>38</v>
      </c>
      <c r="O15" s="9" t="s">
        <v>39</v>
      </c>
      <c r="P15" s="9" t="s">
        <v>53</v>
      </c>
      <c r="Q15" s="6">
        <v>60.99</v>
      </c>
      <c r="R15" s="6">
        <v>426.93</v>
      </c>
      <c r="S15" s="9" t="s">
        <v>39</v>
      </c>
      <c r="T15" s="6">
        <v>60.99</v>
      </c>
      <c r="U15" s="6">
        <v>426.93</v>
      </c>
      <c r="V15" s="9" t="s">
        <v>39</v>
      </c>
      <c r="W15" s="6">
        <v>60.99</v>
      </c>
      <c r="X15" s="6">
        <v>426.93</v>
      </c>
    </row>
    <row r="16" spans="1:24" x14ac:dyDescent="0.35">
      <c r="A16" s="6">
        <v>7</v>
      </c>
      <c r="B16" s="7">
        <v>25</v>
      </c>
      <c r="C16" s="7" t="s">
        <v>32</v>
      </c>
      <c r="D16" s="6" t="str">
        <f>"P2015-WE"</f>
        <v>P2015-WE</v>
      </c>
      <c r="E16" s="6" t="s">
        <v>54</v>
      </c>
      <c r="F16" s="6" t="s">
        <v>55</v>
      </c>
      <c r="G16" s="6" t="s">
        <v>35</v>
      </c>
      <c r="H16" s="6" t="s">
        <v>36</v>
      </c>
      <c r="I16" s="6">
        <v>44.9</v>
      </c>
      <c r="J16" s="8">
        <v>1122.5</v>
      </c>
      <c r="K16" s="9" t="s">
        <v>56</v>
      </c>
      <c r="L16" s="6">
        <v>25.59</v>
      </c>
      <c r="M16" s="6">
        <v>639.75</v>
      </c>
      <c r="N16" s="6" t="s">
        <v>38</v>
      </c>
      <c r="O16" s="9" t="s">
        <v>39</v>
      </c>
      <c r="P16" s="9" t="s">
        <v>56</v>
      </c>
      <c r="Q16" s="6">
        <v>25.59</v>
      </c>
      <c r="R16" s="6">
        <v>639.75</v>
      </c>
      <c r="S16" s="9" t="s">
        <v>39</v>
      </c>
      <c r="T16" s="6">
        <v>25.59</v>
      </c>
      <c r="U16" s="6">
        <v>639.75</v>
      </c>
      <c r="V16" s="9" t="s">
        <v>39</v>
      </c>
      <c r="W16" s="6">
        <v>25.59</v>
      </c>
      <c r="X16" s="6">
        <v>639.75</v>
      </c>
    </row>
    <row r="17" spans="1:24" ht="26.5" x14ac:dyDescent="0.35">
      <c r="A17" s="6">
        <v>8</v>
      </c>
      <c r="B17" s="7">
        <v>25</v>
      </c>
      <c r="C17" s="7" t="s">
        <v>32</v>
      </c>
      <c r="D17" s="6" t="str">
        <f>"Z4061PBL-ZW"</f>
        <v>Z4061PBL-ZW</v>
      </c>
      <c r="E17" s="6" t="s">
        <v>57</v>
      </c>
      <c r="F17" s="6" t="s">
        <v>58</v>
      </c>
      <c r="G17" s="6" t="s">
        <v>35</v>
      </c>
      <c r="H17" s="6" t="s">
        <v>36</v>
      </c>
      <c r="I17" s="6">
        <v>62.8</v>
      </c>
      <c r="J17" s="8">
        <v>1570</v>
      </c>
      <c r="K17" s="9" t="s">
        <v>42</v>
      </c>
      <c r="L17" s="6">
        <v>47.1</v>
      </c>
      <c r="M17" s="8">
        <v>1177.5</v>
      </c>
      <c r="N17" s="6" t="s">
        <v>38</v>
      </c>
      <c r="O17" s="9" t="s">
        <v>39</v>
      </c>
      <c r="P17" s="9" t="s">
        <v>42</v>
      </c>
      <c r="Q17" s="6">
        <v>47.1</v>
      </c>
      <c r="R17" s="8">
        <v>1177.5</v>
      </c>
      <c r="S17" s="9" t="s">
        <v>39</v>
      </c>
      <c r="T17" s="6">
        <v>47.1</v>
      </c>
      <c r="U17" s="8">
        <v>1177.5</v>
      </c>
      <c r="V17" s="9" t="s">
        <v>39</v>
      </c>
      <c r="W17" s="6">
        <v>47.1</v>
      </c>
      <c r="X17" s="8">
        <v>1177.5</v>
      </c>
    </row>
    <row r="18" spans="1:24" ht="26.5" x14ac:dyDescent="0.35">
      <c r="A18" s="6">
        <v>9</v>
      </c>
      <c r="B18" s="7">
        <v>15</v>
      </c>
      <c r="C18" s="7" t="s">
        <v>32</v>
      </c>
      <c r="D18" s="6" t="str">
        <f>"Z4062PBL-ZW"</f>
        <v>Z4062PBL-ZW</v>
      </c>
      <c r="E18" s="6" t="s">
        <v>59</v>
      </c>
      <c r="F18" s="6" t="s">
        <v>60</v>
      </c>
      <c r="G18" s="6" t="s">
        <v>35</v>
      </c>
      <c r="H18" s="6" t="s">
        <v>36</v>
      </c>
      <c r="I18" s="6">
        <v>78.5</v>
      </c>
      <c r="J18" s="8">
        <v>1177.5</v>
      </c>
      <c r="K18" s="9" t="s">
        <v>61</v>
      </c>
      <c r="L18" s="6">
        <v>58.88</v>
      </c>
      <c r="M18" s="6">
        <v>883.2</v>
      </c>
      <c r="N18" s="6" t="s">
        <v>38</v>
      </c>
      <c r="O18" s="9" t="s">
        <v>39</v>
      </c>
      <c r="P18" s="9" t="s">
        <v>61</v>
      </c>
      <c r="Q18" s="6">
        <v>58.88</v>
      </c>
      <c r="R18" s="6">
        <v>883.2</v>
      </c>
      <c r="S18" s="9" t="s">
        <v>39</v>
      </c>
      <c r="T18" s="6">
        <v>58.88</v>
      </c>
      <c r="U18" s="6">
        <v>883.2</v>
      </c>
      <c r="V18" s="9" t="s">
        <v>39</v>
      </c>
      <c r="W18" s="6">
        <v>58.88</v>
      </c>
      <c r="X18" s="6">
        <v>883.2</v>
      </c>
    </row>
    <row r="19" spans="1:24" ht="26.5" x14ac:dyDescent="0.35">
      <c r="A19" s="6">
        <v>10</v>
      </c>
      <c r="B19" s="7">
        <v>12</v>
      </c>
      <c r="C19" s="7" t="s">
        <v>32</v>
      </c>
      <c r="D19" s="6" t="str">
        <f>"Z4063PBL-ZW"</f>
        <v>Z4063PBL-ZW</v>
      </c>
      <c r="E19" s="6" t="s">
        <v>62</v>
      </c>
      <c r="F19" s="6" t="s">
        <v>63</v>
      </c>
      <c r="G19" s="6" t="s">
        <v>35</v>
      </c>
      <c r="H19" s="6" t="s">
        <v>36</v>
      </c>
      <c r="I19" s="6">
        <v>94.4</v>
      </c>
      <c r="J19" s="8">
        <v>1132.8</v>
      </c>
      <c r="K19" s="9" t="s">
        <v>64</v>
      </c>
      <c r="L19" s="6">
        <v>70.81</v>
      </c>
      <c r="M19" s="6">
        <v>849.72</v>
      </c>
      <c r="N19" s="6" t="s">
        <v>38</v>
      </c>
      <c r="O19" s="9" t="s">
        <v>39</v>
      </c>
      <c r="P19" s="9" t="s">
        <v>64</v>
      </c>
      <c r="Q19" s="6">
        <v>70.81</v>
      </c>
      <c r="R19" s="6">
        <v>849.72</v>
      </c>
      <c r="S19" s="9" t="s">
        <v>39</v>
      </c>
      <c r="T19" s="6">
        <v>70.81</v>
      </c>
      <c r="U19" s="6">
        <v>849.72</v>
      </c>
      <c r="V19" s="9" t="s">
        <v>39</v>
      </c>
      <c r="W19" s="6">
        <v>70.81</v>
      </c>
      <c r="X19" s="6">
        <v>849.72</v>
      </c>
    </row>
    <row r="20" spans="1:24" ht="26.5" x14ac:dyDescent="0.35">
      <c r="A20" s="6">
        <v>11</v>
      </c>
      <c r="B20" s="7">
        <v>8</v>
      </c>
      <c r="C20" s="7" t="s">
        <v>32</v>
      </c>
      <c r="D20" s="6" t="str">
        <f>"Z4064PBL-ZW"</f>
        <v>Z4064PBL-ZW</v>
      </c>
      <c r="E20" s="6" t="s">
        <v>65</v>
      </c>
      <c r="F20" s="6" t="s">
        <v>66</v>
      </c>
      <c r="G20" s="6" t="s">
        <v>35</v>
      </c>
      <c r="H20" s="6" t="s">
        <v>36</v>
      </c>
      <c r="I20" s="6">
        <v>109.9</v>
      </c>
      <c r="J20" s="6">
        <v>879.2</v>
      </c>
      <c r="K20" s="9" t="s">
        <v>67</v>
      </c>
      <c r="L20" s="6">
        <v>82.43</v>
      </c>
      <c r="M20" s="6">
        <v>659.44</v>
      </c>
      <c r="N20" s="6" t="s">
        <v>38</v>
      </c>
      <c r="O20" s="9" t="s">
        <v>39</v>
      </c>
      <c r="P20" s="9" t="s">
        <v>67</v>
      </c>
      <c r="Q20" s="6">
        <v>82.43</v>
      </c>
      <c r="R20" s="6">
        <v>659.44</v>
      </c>
      <c r="S20" s="9" t="s">
        <v>39</v>
      </c>
      <c r="T20" s="6">
        <v>82.43</v>
      </c>
      <c r="U20" s="6">
        <v>659.44</v>
      </c>
      <c r="V20" s="9" t="s">
        <v>39</v>
      </c>
      <c r="W20" s="6">
        <v>82.43</v>
      </c>
      <c r="X20" s="6">
        <v>659.44</v>
      </c>
    </row>
    <row r="21" spans="1:24" ht="26.5" x14ac:dyDescent="0.35">
      <c r="A21" s="6">
        <v>12</v>
      </c>
      <c r="B21" s="7">
        <v>6</v>
      </c>
      <c r="C21" s="7" t="s">
        <v>32</v>
      </c>
      <c r="D21" s="6" t="str">
        <f>"Z4065PBL-ZW"</f>
        <v>Z4065PBL-ZW</v>
      </c>
      <c r="E21" s="6" t="s">
        <v>68</v>
      </c>
      <c r="F21" s="6" t="s">
        <v>69</v>
      </c>
      <c r="G21" s="6" t="s">
        <v>35</v>
      </c>
      <c r="H21" s="6" t="s">
        <v>36</v>
      </c>
      <c r="I21" s="6">
        <v>125.6</v>
      </c>
      <c r="J21" s="6">
        <v>753.6</v>
      </c>
      <c r="K21" s="9" t="s">
        <v>70</v>
      </c>
      <c r="L21" s="6">
        <v>94.21</v>
      </c>
      <c r="M21" s="6">
        <v>565.26</v>
      </c>
      <c r="N21" s="6" t="s">
        <v>38</v>
      </c>
      <c r="O21" s="9" t="s">
        <v>39</v>
      </c>
      <c r="P21" s="9" t="s">
        <v>70</v>
      </c>
      <c r="Q21" s="6">
        <v>94.21</v>
      </c>
      <c r="R21" s="6">
        <v>565.26</v>
      </c>
      <c r="S21" s="9" t="s">
        <v>39</v>
      </c>
      <c r="T21" s="6">
        <v>94.21</v>
      </c>
      <c r="U21" s="6">
        <v>565.26</v>
      </c>
      <c r="V21" s="9" t="s">
        <v>39</v>
      </c>
      <c r="W21" s="6">
        <v>94.21</v>
      </c>
      <c r="X21" s="6">
        <v>565.26</v>
      </c>
    </row>
    <row r="22" spans="1:24" ht="26.5" x14ac:dyDescent="0.35">
      <c r="A22" s="6">
        <v>13</v>
      </c>
      <c r="B22" s="7">
        <v>5</v>
      </c>
      <c r="C22" s="7" t="s">
        <v>32</v>
      </c>
      <c r="D22" s="6" t="str">
        <f>"Z4066PBL-ZW"</f>
        <v>Z4066PBL-ZW</v>
      </c>
      <c r="E22" s="6" t="s">
        <v>71</v>
      </c>
      <c r="F22" s="6" t="s">
        <v>72</v>
      </c>
      <c r="G22" s="6" t="s">
        <v>35</v>
      </c>
      <c r="H22" s="6" t="s">
        <v>36</v>
      </c>
      <c r="I22" s="6">
        <v>141.4</v>
      </c>
      <c r="J22" s="6">
        <v>707</v>
      </c>
      <c r="K22" s="9" t="s">
        <v>73</v>
      </c>
      <c r="L22" s="6">
        <v>106.06</v>
      </c>
      <c r="M22" s="6">
        <v>530.29999999999995</v>
      </c>
      <c r="N22" s="6" t="s">
        <v>38</v>
      </c>
      <c r="O22" s="9" t="s">
        <v>39</v>
      </c>
      <c r="P22" s="9" t="s">
        <v>73</v>
      </c>
      <c r="Q22" s="6">
        <v>106.06</v>
      </c>
      <c r="R22" s="6">
        <v>530.29999999999995</v>
      </c>
      <c r="S22" s="9" t="s">
        <v>39</v>
      </c>
      <c r="T22" s="6">
        <v>106.06</v>
      </c>
      <c r="U22" s="6">
        <v>530.29999999999995</v>
      </c>
      <c r="V22" s="9" t="s">
        <v>39</v>
      </c>
      <c r="W22" s="6">
        <v>106.06</v>
      </c>
      <c r="X22" s="6">
        <v>530.29999999999995</v>
      </c>
    </row>
    <row r="23" spans="1:24" x14ac:dyDescent="0.35">
      <c r="A23" s="6">
        <v>14</v>
      </c>
      <c r="B23" s="7">
        <v>5</v>
      </c>
      <c r="C23" s="7" t="s">
        <v>32</v>
      </c>
      <c r="D23" s="6" t="str">
        <f>"P2031VA-WE"</f>
        <v>P2031VA-WE</v>
      </c>
      <c r="E23" s="6" t="s">
        <v>74</v>
      </c>
      <c r="F23" s="6" t="s">
        <v>75</v>
      </c>
      <c r="G23" s="6" t="s">
        <v>35</v>
      </c>
      <c r="H23" s="6" t="s">
        <v>36</v>
      </c>
      <c r="I23" s="6">
        <v>43.4</v>
      </c>
      <c r="J23" s="6">
        <v>217</v>
      </c>
      <c r="K23" s="9" t="s">
        <v>50</v>
      </c>
      <c r="L23" s="6">
        <v>24.74</v>
      </c>
      <c r="M23" s="6">
        <v>123.7</v>
      </c>
      <c r="N23" s="6" t="s">
        <v>38</v>
      </c>
      <c r="O23" s="9" t="s">
        <v>39</v>
      </c>
      <c r="P23" s="9" t="s">
        <v>50</v>
      </c>
      <c r="Q23" s="6">
        <v>24.74</v>
      </c>
      <c r="R23" s="6">
        <v>123.7</v>
      </c>
      <c r="S23" s="9" t="s">
        <v>39</v>
      </c>
      <c r="T23" s="6">
        <v>24.74</v>
      </c>
      <c r="U23" s="6">
        <v>123.7</v>
      </c>
      <c r="V23" s="9" t="s">
        <v>39</v>
      </c>
      <c r="W23" s="6">
        <v>24.74</v>
      </c>
      <c r="X23" s="6">
        <v>123.7</v>
      </c>
    </row>
    <row r="24" spans="1:24" x14ac:dyDescent="0.35">
      <c r="A24" s="6">
        <v>15</v>
      </c>
      <c r="B24" s="7">
        <v>3</v>
      </c>
      <c r="C24" s="7" t="s">
        <v>32</v>
      </c>
      <c r="D24" s="6" t="str">
        <f>"P2032VA-WE"</f>
        <v>P2032VA-WE</v>
      </c>
      <c r="E24" s="6" t="s">
        <v>76</v>
      </c>
      <c r="F24" s="6" t="s">
        <v>77</v>
      </c>
      <c r="G24" s="6" t="s">
        <v>35</v>
      </c>
      <c r="H24" s="6" t="s">
        <v>36</v>
      </c>
      <c r="I24" s="6">
        <v>65.099999999999994</v>
      </c>
      <c r="J24" s="6">
        <v>195.3</v>
      </c>
      <c r="K24" s="9" t="s">
        <v>50</v>
      </c>
      <c r="L24" s="6">
        <v>37.11</v>
      </c>
      <c r="M24" s="6">
        <v>111.33</v>
      </c>
      <c r="N24" s="6" t="s">
        <v>38</v>
      </c>
      <c r="O24" s="9" t="s">
        <v>39</v>
      </c>
      <c r="P24" s="9" t="s">
        <v>50</v>
      </c>
      <c r="Q24" s="6">
        <v>37.11</v>
      </c>
      <c r="R24" s="6">
        <v>111.33</v>
      </c>
      <c r="S24" s="9" t="s">
        <v>39</v>
      </c>
      <c r="T24" s="6">
        <v>37.11</v>
      </c>
      <c r="U24" s="6">
        <v>111.33</v>
      </c>
      <c r="V24" s="9" t="s">
        <v>39</v>
      </c>
      <c r="W24" s="6">
        <v>37.11</v>
      </c>
      <c r="X24" s="6">
        <v>111.33</v>
      </c>
    </row>
    <row r="25" spans="1:24" x14ac:dyDescent="0.35">
      <c r="A25" s="6">
        <v>16</v>
      </c>
      <c r="B25" s="7">
        <v>2</v>
      </c>
      <c r="C25" s="7" t="s">
        <v>32</v>
      </c>
      <c r="D25" s="6" t="str">
        <f>"P2033/2VA-WE"</f>
        <v>P2033/2VA-WE</v>
      </c>
      <c r="E25" s="6" t="s">
        <v>78</v>
      </c>
      <c r="F25" s="6" t="s">
        <v>79</v>
      </c>
      <c r="G25" s="6" t="s">
        <v>35</v>
      </c>
      <c r="H25" s="6" t="s">
        <v>36</v>
      </c>
      <c r="I25" s="6">
        <v>91.1</v>
      </c>
      <c r="J25" s="6">
        <v>182.2</v>
      </c>
      <c r="K25" s="9" t="s">
        <v>80</v>
      </c>
      <c r="L25" s="6">
        <v>51.93</v>
      </c>
      <c r="M25" s="6">
        <v>103.86</v>
      </c>
      <c r="N25" s="6" t="s">
        <v>38</v>
      </c>
      <c r="O25" s="9" t="s">
        <v>39</v>
      </c>
      <c r="P25" s="9" t="s">
        <v>80</v>
      </c>
      <c r="Q25" s="6">
        <v>51.93</v>
      </c>
      <c r="R25" s="6">
        <v>103.86</v>
      </c>
      <c r="S25" s="9" t="s">
        <v>39</v>
      </c>
      <c r="T25" s="6">
        <v>51.93</v>
      </c>
      <c r="U25" s="6">
        <v>103.86</v>
      </c>
      <c r="V25" s="9" t="s">
        <v>39</v>
      </c>
      <c r="W25" s="6">
        <v>51.93</v>
      </c>
      <c r="X25" s="6">
        <v>103.86</v>
      </c>
    </row>
    <row r="26" spans="1:24" x14ac:dyDescent="0.35">
      <c r="A26" s="6">
        <v>17</v>
      </c>
      <c r="B26" s="7">
        <v>1</v>
      </c>
      <c r="C26" s="7" t="s">
        <v>32</v>
      </c>
      <c r="D26" s="6" t="str">
        <f>"P2034/2VA-WE"</f>
        <v>P2034/2VA-WE</v>
      </c>
      <c r="E26" s="6" t="s">
        <v>81</v>
      </c>
      <c r="F26" s="6" t="s">
        <v>82</v>
      </c>
      <c r="G26" s="6" t="s">
        <v>35</v>
      </c>
      <c r="H26" s="6" t="s">
        <v>36</v>
      </c>
      <c r="I26" s="6">
        <v>123.6</v>
      </c>
      <c r="J26" s="6">
        <v>123.6</v>
      </c>
      <c r="K26" s="9" t="s">
        <v>83</v>
      </c>
      <c r="L26" s="6">
        <v>70.45</v>
      </c>
      <c r="M26" s="6">
        <v>70.45</v>
      </c>
      <c r="N26" s="6" t="s">
        <v>38</v>
      </c>
      <c r="O26" s="9" t="s">
        <v>39</v>
      </c>
      <c r="P26" s="9" t="s">
        <v>83</v>
      </c>
      <c r="Q26" s="6">
        <v>70.45</v>
      </c>
      <c r="R26" s="6">
        <v>70.45</v>
      </c>
      <c r="S26" s="9" t="s">
        <v>39</v>
      </c>
      <c r="T26" s="6">
        <v>70.45</v>
      </c>
      <c r="U26" s="6">
        <v>70.45</v>
      </c>
      <c r="V26" s="9" t="s">
        <v>39</v>
      </c>
      <c r="W26" s="6">
        <v>70.45</v>
      </c>
      <c r="X26" s="6">
        <v>70.45</v>
      </c>
    </row>
    <row r="27" spans="1:24" x14ac:dyDescent="0.3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2">
        <v>24810.58</v>
      </c>
      <c r="S27" s="10"/>
      <c r="T27" s="10"/>
      <c r="U27" s="10"/>
      <c r="V27" s="10"/>
      <c r="W27" s="10"/>
      <c r="X27" s="10"/>
    </row>
    <row r="28" spans="1:24" x14ac:dyDescent="0.3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3"/>
      <c r="S28" s="11"/>
      <c r="T28" s="11"/>
      <c r="U28" s="11"/>
      <c r="V28" s="11"/>
      <c r="W28" s="11"/>
      <c r="X28" s="11"/>
    </row>
  </sheetData>
  <mergeCells count="35"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7:A28"/>
    <mergeCell ref="B27:B28"/>
    <mergeCell ref="C27:C28"/>
    <mergeCell ref="D27:D28"/>
    <mergeCell ref="E27:E28"/>
    <mergeCell ref="F27:F28"/>
    <mergeCell ref="A5:B6"/>
    <mergeCell ref="C5:D6"/>
    <mergeCell ref="E5:F6"/>
    <mergeCell ref="A7:F8"/>
    <mergeCell ref="A1:B2"/>
    <mergeCell ref="C1:D2"/>
    <mergeCell ref="E1:E2"/>
    <mergeCell ref="F1:F2"/>
    <mergeCell ref="A3:B4"/>
    <mergeCell ref="C3:C4"/>
    <mergeCell ref="D3:D4"/>
  </mergeCells>
  <pageMargins left="0.75" right="0.75" top="1" bottom="1" header="0.5" footer="0.5"/>
  <headerFooter>
    <oddFooter>&amp;C_x000D_&amp;1#&amp;"Aptos"&amp;6&amp;K626469 General</oddFooter>
  </headerFooter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2026-1711458_P;_5_Lauderdale_Av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WASHINGTON</dc:creator>
  <cp:lastModifiedBy>Deborah WASHINGTON</cp:lastModifiedBy>
  <dcterms:created xsi:type="dcterms:W3CDTF">2026-07-05T23:49:59Z</dcterms:created>
  <dcterms:modified xsi:type="dcterms:W3CDTF">2026-07-05T23:49:59Z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443d00-af18-408c-9335-47b5de3ec9b9_Enabled">
    <vt:lpwstr>true</vt:lpwstr>
  </property>
  <property fmtid="{D5CDD505-2E9C-101B-9397-08002B2CF9AE}" pid="3" name="MSIP_Label_57443d00-af18-408c-9335-47b5de3ec9b9_SetDate">
    <vt:lpwstr>2026-07-05T23:49:59Z</vt:lpwstr>
  </property>
  <property fmtid="{D5CDD505-2E9C-101B-9397-08002B2CF9AE}" pid="4" name="MSIP_Label_57443d00-af18-408c-9335-47b5de3ec9b9_Method">
    <vt:lpwstr>Standard</vt:lpwstr>
  </property>
  <property fmtid="{D5CDD505-2E9C-101B-9397-08002B2CF9AE}" pid="5" name="MSIP_Label_57443d00-af18-408c-9335-47b5de3ec9b9_Name">
    <vt:lpwstr>General v2</vt:lpwstr>
  </property>
  <property fmtid="{D5CDD505-2E9C-101B-9397-08002B2CF9AE}" pid="6" name="MSIP_Label_57443d00-af18-408c-9335-47b5de3ec9b9_SiteId">
    <vt:lpwstr>6e51e1ad-c54b-4b39-b598-0ffe9ae68fef</vt:lpwstr>
  </property>
  <property fmtid="{D5CDD505-2E9C-101B-9397-08002B2CF9AE}" pid="7" name="MSIP_Label_57443d00-af18-408c-9335-47b5de3ec9b9_ActionId">
    <vt:lpwstr>c098c722-07c3-417d-a8d8-37d147dbce96</vt:lpwstr>
  </property>
  <property fmtid="{D5CDD505-2E9C-101B-9397-08002B2CF9AE}" pid="8" name="MSIP_Label_57443d00-af18-408c-9335-47b5de3ec9b9_ContentBits">
    <vt:lpwstr>0</vt:lpwstr>
  </property>
</Properties>
</file>